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s" sheetId="1" state="visible" r:id="rId3"/>
    <sheet name="Dashboard" sheetId="2" state="visible" r:id="rId4"/>
  </sheets>
  <definedNames>
    <definedName function="false" hidden="true" localSheetId="0" name="_xlnm._FilterDatabase" vbProcedure="false">Problems!$A$1:$L$1000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<sst xmlns="http://schemas.openxmlformats.org/spreadsheetml/2006/main" count="44" uniqueCount="41">
  <si>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ID</t>
  </si>
  <si>
    <t xml:space="preserve">Date</t>
  </si>
  <si>
    <t xml:space="preserve">Student</t>
  </si>
  <si>
    <t xml:space="preserve">Platform</t>
  </si>
  <si>
    <t xml:space="preserve">Link</t>
  </si>
  <si>
    <t xml:space="preserve">Title</t>
  </si>
  <si>
    <t xml:space="preserve">Status</t>
  </si>
  <si>
    <t xml:space="preserve">Lecture</t>
  </si>
  <si>
    <t xml:space="preserve">Difficulty</t>
  </si>
  <si>
    <t xml:space="preserve">Tags</t>
  </si>
  <si>
    <t xml:space="preserve">Notes</t>
  </si>
  <si>
    <t xml:space="preserve">Updated</t>
  </si>
  <si>
    <t xml:space="preserve">ex1</t>
  </si>
  <si>
    <t xml:space="preserve">2026-10-08</t>
  </si>
  <si>
    <t xml:space="preserve">Abhinav</t>
  </si>
  <si>
    <t xml:space="preserve">LeetCode</t>
  </si>
  <si>
    <t xml:space="preserve">https://leetcode.com/problems/two-sum/</t>
  </si>
  <si>
    <t xml:space="preserve">Two Sum</t>
  </si>
  <si>
    <t xml:space="preserve">Solved</t>
  </si>
  <si>
    <t xml:space="preserve">Not needed</t>
  </si>
  <si>
    <t xml:space="preserve">Easy</t>
  </si>
  <si>
    <t xml:space="preserve">arrays, hashmap</t>
  </si>
  <si>
    <t xml:space="preserve">Use hashmap</t>
  </si>
  <si>
    <t xml:space="preserve">2026-10-08T10:00:00Z</t>
  </si>
  <si>
    <t xml:space="preserve">CodeTrail Dashboard</t>
  </si>
  <si>
    <t xml:space="preserve">Legend: Problems sheet is filled by the app (or type manually; row 2 is an example). Dashboard cells below are formulas - do not edit.</t>
  </si>
  <si>
    <t xml:space="preserve">Total questions</t>
  </si>
  <si>
    <t xml:space="preserve">To solve</t>
  </si>
  <si>
    <t xml:space="preserve">Solve again</t>
  </si>
  <si>
    <t xml:space="preserve">Lectures to watch</t>
  </si>
  <si>
    <t xml:space="preserve">Lectures watched</t>
  </si>
  <si>
    <t xml:space="preserve">Medium</t>
  </si>
  <si>
    <t xml:space="preserve">Hard</t>
  </si>
  <si>
    <t xml:space="preserve">Solved %</t>
  </si>
  <si>
    <t xml:space="preserve">By platform</t>
  </si>
  <si>
    <t xml:space="preserve">Codeforces</t>
  </si>
  <si>
    <t xml:space="preserve">CodeChef</t>
  </si>
  <si>
    <t xml:space="preserve">AtCoder</t>
  </si>
  <si>
    <t xml:space="preserve">GeeksforGeeks</t>
  </si>
  <si>
    <t xml:space="preserve">HackerRank</t>
  </si>
  <si>
    <t xml:space="preserve">CSES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</si>
</sst>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3</xdr:col>
      <xdr:colOff>609120</xdr:colOff>
      <xdr:row>2</xdr:row>
      <xdr:rowOff>171000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148920" y="0"/>
          <a:ext cx="6091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2"/>
    <col collapsed="false" customWidth="true" hidden="false" outlineLevel="0" max="6" min="6" style="1" width="26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2"/>
    <col collapsed="false" customWidth="true" hidden="false" outlineLevel="0" max="11" min="11" style="1" width="30"/>
    <col collapsed="false" customWidth="true" hidden="false" outlineLevel="0" max="12" min="12" style="1" width="2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</sheetData>
  <autoFilter ref="A1:L1000"/>
  <dataValidations count="3">
    <dataValidation allowBlank="true" errorStyle="stop" operator="between" showDropDown="false" showErrorMessage="false" showInputMessage="false" sqref="G2:G1000" type="list">
      <formula1>"To solve,Solved,Solve again"</formula1>
      <formula2>0</formula2>
    </dataValidation>
    <dataValidation allowBlank="true" errorStyle="stop" operator="between" showDropDown="false" showErrorMessage="false" showInputMessage="false" sqref="H2:H1000" type="list">
      <formula1>"Not needed,Watch lecture,Watched"</formula1>
      <formula2>0</formula2>
    </dataValidation>
    <dataValidation allowBlank="true" errorStyle="stop" operator="between" showDropDown="false" showErrorMessage="false" showInputMessage="false" sqref="I2:I1000" type="list">
      <formula1>"Easy,Medium,Hard"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</cols>
  <sheetData>
    <row r="1" customFormat="false" ht="19.5" hidden="false" customHeight="true" outlineLevel="0" collapsed="false">
      <c r="A1" s="4" t="s">
        <v>24</v>
      </c>
    </row>
    <row r="2" customFormat="false" ht="15" hidden="false" customHeight="true" outlineLevel="0" collapsed="false">
      <c r="A2" s="5" t="s">
        <v>25</v>
      </c>
    </row>
    <row r="4" customFormat="false" ht="15" hidden="false" customHeight="true" outlineLevel="0" collapsed="false">
      <c r="A4" s="6" t="s">
        <v>26</v>
      </c>
      <c r="B4" s="3" t="n">
        <f aca="false">COUNTA(Problems!E2:E1000)</f>
        <v>1</v>
      </c>
    </row>
    <row r="5" customFormat="false" ht="15" hidden="false" customHeight="true" outlineLevel="0" collapsed="false">
      <c r="A5" s="6" t="s">
        <v>27</v>
      </c>
      <c r="B5" s="3" t="n">
        <f aca="false">COUNTIF(Problems!G2:G1000,"To solve")</f>
        <v>0</v>
      </c>
    </row>
    <row r="6" customFormat="false" ht="15" hidden="false" customHeight="true" outlineLevel="0" collapsed="false">
      <c r="A6" s="6" t="s">
        <v>18</v>
      </c>
      <c r="B6" s="3" t="n">
        <f aca="false">COUNTIF(Problems!G2:G1000,"Solved")</f>
        <v>1</v>
      </c>
    </row>
    <row r="7" customFormat="false" ht="15" hidden="false" customHeight="true" outlineLevel="0" collapsed="false">
      <c r="A7" s="6" t="s">
        <v>28</v>
      </c>
      <c r="B7" s="3" t="n">
        <f aca="false">COUNTIF(Problems!G2:G1000,"Solve again")</f>
        <v>0</v>
      </c>
    </row>
    <row r="8" customFormat="false" ht="15" hidden="false" customHeight="true" outlineLevel="0" collapsed="false">
      <c r="A8" s="6" t="s">
        <v>29</v>
      </c>
      <c r="B8" s="3" t="n">
        <f aca="false">COUNTIF(Problems!H2:H1000,"Watch lecture")</f>
        <v>0</v>
      </c>
    </row>
    <row r="9" customFormat="false" ht="15" hidden="false" customHeight="true" outlineLevel="0" collapsed="false">
      <c r="A9" s="6" t="s">
        <v>30</v>
      </c>
      <c r="B9" s="3" t="n">
        <f aca="false">COUNTIF(Problems!H2:H1000,"Watched")</f>
        <v>0</v>
      </c>
    </row>
    <row r="10" customFormat="false" ht="15" hidden="false" customHeight="true" outlineLevel="0" collapsed="false">
      <c r="A10" s="6" t="s">
        <v>20</v>
      </c>
      <c r="B10" s="3" t="n">
        <f aca="false">COUNTIF(Problems!I2:I1000,"Easy")</f>
        <v>1</v>
      </c>
    </row>
    <row r="11" customFormat="false" ht="15" hidden="false" customHeight="true" outlineLevel="0" collapsed="false">
      <c r="A11" s="6" t="s">
        <v>31</v>
      </c>
      <c r="B11" s="3" t="n">
        <f aca="false">COUNTIF(Problems!I2:I1000,"Medium")</f>
        <v>0</v>
      </c>
    </row>
    <row r="12" customFormat="false" ht="15" hidden="false" customHeight="true" outlineLevel="0" collapsed="false">
      <c r="A12" s="6" t="s">
        <v>32</v>
      </c>
      <c r="B12" s="3" t="n">
        <f aca="false">COUNTIF(Problems!I2:I1000,"Hard")</f>
        <v>0</v>
      </c>
    </row>
    <row r="13" customFormat="false" ht="15" hidden="false" customHeight="true" outlineLevel="0" collapsed="false">
      <c r="A13" s="6" t="s">
        <v>33</v>
      </c>
      <c r="B13" s="7" t="n">
        <f aca="false">IF(B4=0,0,B6/B4)</f>
        <v>1</v>
      </c>
    </row>
    <row r="15" customFormat="false" ht="15" hidden="false" customHeight="true" outlineLevel="0" collapsed="false">
      <c r="A15" s="6" t="s">
        <v>34</v>
      </c>
    </row>
    <row r="16" customFormat="false" ht="15" hidden="false" customHeight="true" outlineLevel="0" collapsed="false">
      <c r="A16" s="3" t="s">
        <v>15</v>
      </c>
      <c r="B16" s="3" t="n">
        <f aca="false">COUNTIF(Problems!D2:D1000,A16)</f>
        <v>1</v>
      </c>
    </row>
    <row r="17" customFormat="false" ht="15" hidden="false" customHeight="true" outlineLevel="0" collapsed="false">
      <c r="A17" s="3" t="s">
        <v>35</v>
      </c>
      <c r="B17" s="3" t="n">
        <f aca="false">COUNTIF(Problems!D2:D1000,A17)</f>
        <v>0</v>
      </c>
    </row>
    <row r="18" customFormat="false" ht="15" hidden="false" customHeight="true" outlineLevel="0" collapsed="false">
      <c r="A18" s="3" t="s">
        <v>36</v>
      </c>
      <c r="B18" s="3" t="n">
        <f aca="false">COUNTIF(Problems!D2:D1000,A18)</f>
        <v>0</v>
      </c>
    </row>
    <row r="19" customFormat="false" ht="15" hidden="false" customHeight="true" outlineLevel="0" collapsed="false">
      <c r="A19" s="3" t="s">
        <v>37</v>
      </c>
      <c r="B19" s="3" t="n">
        <f aca="false">COUNTIF(Problems!D2:D1000,A19)</f>
        <v>0</v>
      </c>
    </row>
    <row r="20" customFormat="false" ht="15" hidden="false" customHeight="true" outlineLevel="0" collapsed="false">
      <c r="A20" s="3" t="s">
        <v>38</v>
      </c>
      <c r="B20" s="3" t="n">
        <f aca="false">COUNTIF(Problems!D2:D1000,A20)</f>
        <v>0</v>
      </c>
    </row>
    <row r="21" customFormat="false" ht="15" hidden="false" customHeight="true" outlineLevel="0" collapsed="false">
      <c r="A21" s="3" t="s">
        <v>39</v>
      </c>
      <c r="B21" s="3" t="n">
        <f aca="false">COUNTIF(Problems!D2:D1000,A21)</f>
        <v>0</v>
      </c>
    </row>
    <row r="22" customFormat="false" ht="15" hidden="false" customHeight="true" outlineLevel="0" collapsed="false">
      <c r="A22" s="3" t="s">
        <v>40</v>
      </c>
      <c r="B22" s="3" t="n">
        <f aca="false">COUNTIF(Problems!D2:D1000,A22)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2026-10-07T18:31:50Z</dcterms:created>
  <dc:creator>openpyxl</dc:creator>
  <dc:description/>
  <dc:language>en-US</dc:language>
  <cp:lastModifiedBy/>
  <dcterms:modified xsi:type="dcterms:W3CDTF">2026-10-07T19:05:23Z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